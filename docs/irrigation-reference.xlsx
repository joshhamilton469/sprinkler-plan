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 Summary" sheetId="1" state="visible" r:id="rId3"/>
    <sheet name="Head Inventory" sheetId="2" state="visible" r:id="rId4"/>
    <sheet name="Zone Reference" sheetId="3" state="visible" r:id="rId5"/>
    <sheet name="Maintenance Log" sheetId="4" state="visible" r:id="rId6"/>
  </sheets>
  <definedNames>
    <definedName function="false" hidden="false" localSheetId="1" name="_xlnm.Print_Titles" vbProcedure="false">'Head Inventory'!$1:$7</definedName>
    <definedName function="false" hidden="false" localSheetId="3" name="_xlnm.Print_Titles" vbProcedure="false">'Maintenance Log'!$1:$7</definedName>
    <definedName function="false" hidden="false" localSheetId="2" name="_xlnm.Print_Titles" vbProcedure="false">'Zone Reference'!$1:$7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The 1 head buried under the deck whose zone is unknown.</t>
        </r>
      </text>
    </comment>
    <comment ref="B11" authorId="0">
      <text>
        <r>
          <rPr>
            <sz val="10"/>
            <rFont val="Arial"/>
            <family val="2"/>
          </rPr>
          <t xml:space="preserve">Zones 1–11 active. Zone 12 unused.</t>
        </r>
      </text>
    </comment>
    <comment ref="B12" authorId="0">
      <text>
        <r>
          <rPr>
            <sz val="10"/>
            <rFont val="Arial"/>
            <family val="2"/>
          </rPr>
          <t xml:space="preserve">Zones run one at a time, so peak demand = highest single-zone GPM.</t>
        </r>
      </text>
    </comment>
    <comment ref="B13" authorId="0">
      <text>
        <r>
          <rPr>
            <sz val="10"/>
            <rFont val="Arial"/>
            <family val="2"/>
          </rPr>
          <t xml:space="preserve">Sum of run times if all zones run once.</t>
        </r>
      </text>
    </comment>
    <comment ref="B29" authorId="0">
      <text>
        <r>
          <rPr>
            <sz val="10"/>
            <rFont val="Arial"/>
            <family val="2"/>
          </rPr>
          <t xml:space="preserve">A/B/C, days of week, start times.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E9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E10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E11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E12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E13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E14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E15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E16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E17" authorId="0">
      <text>
        <r>
          <rPr>
            <sz val="10"/>
            <rFont val="Arial"/>
            <family val="2"/>
          </rPr>
          <t xml:space="preserve">Best guess from layout — verify against actual installed head.</t>
        </r>
      </text>
    </comment>
    <comment ref="G19" authorId="0">
      <text>
        <r>
          <rPr>
            <sz val="10"/>
            <rFont val="Arial"/>
            <family val="2"/>
          </rPr>
          <t xml:space="preserve">Peak GPM = highest single-zone demand (zones run one at a time).</t>
        </r>
      </text>
    </comment>
  </commentList>
</comments>
</file>

<file path=xl/sharedStrings.xml><?xml version="1.0" encoding="utf-8"?>
<sst xmlns="http://schemas.openxmlformats.org/spreadsheetml/2006/main" count="319" uniqueCount="161">
  <si>
    <t xml:space="preserve">System Summary</t>
  </si>
  <si>
    <t xml:space="preserve">Quick-reference totals and water source info</t>
  </si>
  <si>
    <t xml:space="preserve">Generated May 10, 2026  ·  McLaren Works</t>
  </si>
  <si>
    <t xml:space="preserve">Edit the yellow cells with your actual system details. Other values link from the Zone Reference sheet.</t>
  </si>
  <si>
    <t xml:space="preserve">System Totals</t>
  </si>
  <si>
    <t xml:space="preserve">Total heads installed</t>
  </si>
  <si>
    <t xml:space="preserve">Plus unknown buried head</t>
  </si>
  <si>
    <t xml:space="preserve">  Total heads (incl. unknown)</t>
  </si>
  <si>
    <t xml:space="preserve">Active zones</t>
  </si>
  <si>
    <t xml:space="preserve">Peak GPM (highest single zone)</t>
  </si>
  <si>
    <t xml:space="preserve">Total cycle run time (min)</t>
  </si>
  <si>
    <t xml:space="preserve">Total water per cycle (gal)</t>
  </si>
  <si>
    <t xml:space="preserve">Water Source &amp; Plumbing  (fill in)</t>
  </si>
  <si>
    <t xml:space="preserve">Water source</t>
  </si>
  <si>
    <t xml:space="preserve">Static pressure (psi)</t>
  </si>
  <si>
    <t xml:space="preserve">Dynamic pressure at backflow (psi)</t>
  </si>
  <si>
    <t xml:space="preserve">Backflow preventer location</t>
  </si>
  <si>
    <t xml:space="preserve">Main shutoff location</t>
  </si>
  <si>
    <t xml:space="preserve">Main supply line size</t>
  </si>
  <si>
    <t xml:space="preserve">Controller</t>
  </si>
  <si>
    <t xml:space="preserve">Make / Model</t>
  </si>
  <si>
    <t xml:space="preserve">Location</t>
  </si>
  <si>
    <t xml:space="preserve">Number of stations</t>
  </si>
  <si>
    <t xml:space="preserve">Smart / Wi-Fi enabled?</t>
  </si>
  <si>
    <t xml:space="preserve">Programs in use</t>
  </si>
  <si>
    <t xml:space="preserve">Service Contacts</t>
  </si>
  <si>
    <t xml:space="preserve">Installer</t>
  </si>
  <si>
    <t xml:space="preserve">Servicer</t>
  </si>
  <si>
    <t xml:space="preserve">Plumber</t>
  </si>
  <si>
    <t xml:space="preserve">Seasonal Schedule</t>
  </si>
  <si>
    <t xml:space="preserve">Spring start-up</t>
  </si>
  <si>
    <t xml:space="preserve">Mid-season check</t>
  </si>
  <si>
    <t xml:space="preserve">Pre-winter inspection</t>
  </si>
  <si>
    <t xml:space="preserve">Winterize</t>
  </si>
  <si>
    <t xml:space="preserve">Head Inventory</t>
  </si>
  <si>
    <t xml:space="preserve">One row per sprinkler head · Updated as heads are serviced or replaced</t>
  </si>
  <si>
    <t xml:space="preserve">Use this sheet to track individual heads. Status options: OK, Needs service, Broken, Unknown.</t>
  </si>
  <si>
    <t xml:space="preserve">Head ID</t>
  </si>
  <si>
    <t xml:space="preserve">Zone</t>
  </si>
  <si>
    <t xml:space="preserve">Type</t>
  </si>
  <si>
    <t xml:space="preserve">Location / Description</t>
  </si>
  <si>
    <t xml:space="preserve">Status</t>
  </si>
  <si>
    <t xml:space="preserve">Last Serviced</t>
  </si>
  <si>
    <t xml:space="preserve">Notes</t>
  </si>
  <si>
    <t xml:space="preserve">Z1-1</t>
  </si>
  <si>
    <t xml:space="preserve">1</t>
  </si>
  <si>
    <t xml:space="preserve">Pop-up spray</t>
  </si>
  <si>
    <t xml:space="preserve">OK</t>
  </si>
  <si>
    <t xml:space="preserve">Z1-2</t>
  </si>
  <si>
    <t xml:space="preserve">Z1-3</t>
  </si>
  <si>
    <t xml:space="preserve">Z1-4</t>
  </si>
  <si>
    <t xml:space="preserve">Z1-5</t>
  </si>
  <si>
    <t xml:space="preserve">Z2-1</t>
  </si>
  <si>
    <t xml:space="preserve">2</t>
  </si>
  <si>
    <t xml:space="preserve">Z2-2</t>
  </si>
  <si>
    <t xml:space="preserve">Z2-3</t>
  </si>
  <si>
    <t xml:space="preserve">Z2-4</t>
  </si>
  <si>
    <t xml:space="preserve">Z3+6-1</t>
  </si>
  <si>
    <t xml:space="preserve">3 &amp; 6</t>
  </si>
  <si>
    <t xml:space="preserve">Rotor</t>
  </si>
  <si>
    <t xml:space="preserve">Z3+6-2</t>
  </si>
  <si>
    <t xml:space="preserve">Z3+6-3</t>
  </si>
  <si>
    <t xml:space="preserve">Z3+6-4</t>
  </si>
  <si>
    <t xml:space="preserve">Z3+6-5</t>
  </si>
  <si>
    <t xml:space="preserve">Z3+6-6</t>
  </si>
  <si>
    <t xml:space="preserve">Z3+6-7</t>
  </si>
  <si>
    <t xml:space="preserve">Z3+6-8</t>
  </si>
  <si>
    <t xml:space="preserve">Z4-1</t>
  </si>
  <si>
    <t xml:space="preserve">4</t>
  </si>
  <si>
    <t xml:space="preserve">Z4-2</t>
  </si>
  <si>
    <t xml:space="preserve">Z4-3</t>
  </si>
  <si>
    <t xml:space="preserve">Z5-1</t>
  </si>
  <si>
    <t xml:space="preserve">5</t>
  </si>
  <si>
    <t xml:space="preserve">Z5-2</t>
  </si>
  <si>
    <t xml:space="preserve">Z5-3</t>
  </si>
  <si>
    <t xml:space="preserve">Z5-4</t>
  </si>
  <si>
    <t xml:space="preserve">Z7-1</t>
  </si>
  <si>
    <t xml:space="preserve">7</t>
  </si>
  <si>
    <t xml:space="preserve">Drip</t>
  </si>
  <si>
    <t xml:space="preserve">Z7-2</t>
  </si>
  <si>
    <t xml:space="preserve">Z7-3</t>
  </si>
  <si>
    <t xml:space="preserve">Z8-1</t>
  </si>
  <si>
    <t xml:space="preserve">8</t>
  </si>
  <si>
    <t xml:space="preserve">Broken</t>
  </si>
  <si>
    <t xml:space="preserve">Reported broken on schematic; locate and repair.</t>
  </si>
  <si>
    <t xml:space="preserve">Z8-2</t>
  </si>
  <si>
    <t xml:space="preserve">Z8-3</t>
  </si>
  <si>
    <t xml:space="preserve">Z8-4</t>
  </si>
  <si>
    <t xml:space="preserve">Z9-1</t>
  </si>
  <si>
    <t xml:space="preserve">9</t>
  </si>
  <si>
    <t xml:space="preserve">Z9-2</t>
  </si>
  <si>
    <t xml:space="preserve">Z9-3</t>
  </si>
  <si>
    <t xml:space="preserve">Z10-1</t>
  </si>
  <si>
    <t xml:space="preserve">10</t>
  </si>
  <si>
    <t xml:space="preserve">Z10-2</t>
  </si>
  <si>
    <t xml:space="preserve">Z10-3</t>
  </si>
  <si>
    <t xml:space="preserve">Z10-4</t>
  </si>
  <si>
    <t xml:space="preserve">Z10-5</t>
  </si>
  <si>
    <t xml:space="preserve">Z10-6</t>
  </si>
  <si>
    <t xml:space="preserve">Z11-1</t>
  </si>
  <si>
    <t xml:space="preserve">11</t>
  </si>
  <si>
    <t xml:space="preserve">Z11-2</t>
  </si>
  <si>
    <t xml:space="preserve">Z11-3</t>
  </si>
  <si>
    <t xml:space="preserve">Z11-4</t>
  </si>
  <si>
    <t xml:space="preserve">Z?-1</t>
  </si>
  <si>
    <t xml:space="preserve">?</t>
  </si>
  <si>
    <t xml:space="preserve">Unknown</t>
  </si>
  <si>
    <t xml:space="preserve">Buried under deck</t>
  </si>
  <si>
    <t xml:space="preserve">Identify zone by running each zone individually and observing.</t>
  </si>
  <si>
    <t xml:space="preserve">Irrigation Zone Reference</t>
  </si>
  <si>
    <t xml:space="preserve">5589 rue Goddard · Lot 3, Concession A · Deschenes, QC</t>
  </si>
  <si>
    <t xml:space="preserve">Legend:   Yellow cells = your inputs (edit these)   ·   White cells with formulas auto-calculate   ·   All flows in US gallons per minute (GPM)</t>
  </si>
  <si>
    <t xml:space="preserve">Coverage Area</t>
  </si>
  <si>
    <t xml:space="preserve">Marker</t>
  </si>
  <si>
    <t xml:space="preserve">Head Count</t>
  </si>
  <si>
    <t xml:space="preserve">Head Type</t>
  </si>
  <si>
    <t xml:space="preserve">GPM / Head</t>
  </si>
  <si>
    <t xml:space="preserve">Total GPM</t>
  </si>
  <si>
    <t xml:space="preserve">Run Time (min)</t>
  </si>
  <si>
    <t xml:space="preserve">Gal / Cycle</t>
  </si>
  <si>
    <t xml:space="preserve">Valve / Manifold Location</t>
  </si>
  <si>
    <t xml:space="preserve">Front / west side lawn</t>
  </si>
  <si>
    <t xml:space="preserve">East side beds &amp; lawn</t>
  </si>
  <si>
    <t xml:space="preserve">Back lawn (combined)</t>
  </si>
  <si>
    <t xml:space="preserve">Possibly Y'd at manifold</t>
  </si>
  <si>
    <t xml:space="preserve">Drawn as combined on map — confirm whether these are wired together or separate valves.</t>
  </si>
  <si>
    <t xml:space="preserve">Front entry / driveway side</t>
  </si>
  <si>
    <t xml:space="preserve">Back / pool deck area</t>
  </si>
  <si>
    <t xml:space="preserve">Pool surround landscaping</t>
  </si>
  <si>
    <t xml:space="preserve">East perimeter (1 broken)</t>
  </si>
  <si>
    <t xml:space="preserve">Locate broken head before next season</t>
  </si>
  <si>
    <t xml:space="preserve">Needs service</t>
  </si>
  <si>
    <t xml:space="preserve">1 head broken (north of east property line). Locate and replace before season start.</t>
  </si>
  <si>
    <t xml:space="preserve">North triangle (Goddard frontage NE)</t>
  </si>
  <si>
    <t xml:space="preserve">East lawn</t>
  </si>
  <si>
    <t xml:space="preserve">West / Goddard frontage strip</t>
  </si>
  <si>
    <t xml:space="preserve">12</t>
  </si>
  <si>
    <t xml:space="preserve">(Unused / spare zone)</t>
  </si>
  <si>
    <t xml:space="preserve">—</t>
  </si>
  <si>
    <t xml:space="preserve">Available for future expansion</t>
  </si>
  <si>
    <t xml:space="preserve">Inactive</t>
  </si>
  <si>
    <t xml:space="preserve">No heads installed. Available for future expansion.</t>
  </si>
  <si>
    <t xml:space="preserve">TOTAL</t>
  </si>
  <si>
    <t xml:space="preserve">⚠</t>
  </si>
  <si>
    <t xml:space="preserve">1 additional head buried under deck — zone unknown. Run zones individually and listen/observe to identify.</t>
  </si>
  <si>
    <t xml:space="preserve">Maintenance Log</t>
  </si>
  <si>
    <t xml:space="preserve">Record service activity, dates, and outcomes</t>
  </si>
  <si>
    <t xml:space="preserve">Add a new row each time a service is performed. Sort newest at top, or use Excel filter as needed.</t>
  </si>
  <si>
    <t xml:space="preserve">Date</t>
  </si>
  <si>
    <t xml:space="preserve">Zone(s)</t>
  </si>
  <si>
    <t xml:space="preserve">Activity Type</t>
  </si>
  <si>
    <t xml:space="preserve">Performed By</t>
  </si>
  <si>
    <t xml:space="preserve">Parts / Cost</t>
  </si>
  <si>
    <t xml:space="preserve">All</t>
  </si>
  <si>
    <t xml:space="preserve">Open main valve slowly. Walk each zone, check coverage, look for broken heads, geysers, weeping.</t>
  </si>
  <si>
    <t xml:space="preserve">Winterize / blow-out</t>
  </si>
  <si>
    <t xml:space="preserve">Compressor blow-out before first hard freeze (~late October Ottawa). Each zone 1–2 min until air only.</t>
  </si>
  <si>
    <t xml:space="preserve">Head replacement</t>
  </si>
  <si>
    <t xml:space="preserve">Replace broken Z8 head identified on schematic.</t>
  </si>
  <si>
    <t xml:space="preserve">Inspection</t>
  </si>
  <si>
    <t xml:space="preserve">Identify zone of buried-under-deck head.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</si>
</sst>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"/>
    <numFmt numFmtId="167" formatCode="0.0"/>
    <numFmt numFmtId="168" formatCode="#,##0"/>
    <numFmt numFmtId="169" formatCode="yyyy\-mm\-dd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21F1A"/>
      <name val="Arial"/>
      <family val="0"/>
      <charset val="1"/>
    </font>
    <font>
      <i val="true"/>
      <sz val="10"/>
      <color rgb="FF5C5851"/>
      <name val="Arial"/>
      <family val="0"/>
      <charset val="1"/>
    </font>
    <font>
      <sz val="9"/>
      <color rgb="FF5C5851"/>
      <name val="Arial"/>
      <family val="0"/>
      <charset val="1"/>
    </font>
    <font>
      <i val="true"/>
      <sz val="9"/>
      <color rgb="FF5C585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221F1A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21F1A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21F1A"/>
      <name val="Arial"/>
      <family val="0"/>
      <charset val="1"/>
    </font>
    <font>
      <b val="true"/>
      <sz val="14"/>
      <color rgb="FFC62828"/>
      <name val="Arial"/>
      <family val="0"/>
      <charset val="1"/>
    </font>
    <font>
      <i val="true"/>
      <sz val="10"/>
      <color rgb="FF221F1A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EDE6D2"/>
        <bgColor rgb="FFFCEAEA"/>
      </patternFill>
    </fill>
    <fill>
      <patternFill patternType="solid">
        <fgColor rgb="FF221F1A"/>
        <bgColor rgb="FF212121"/>
      </patternFill>
    </fill>
    <fill>
      <patternFill patternType="solid">
        <fgColor rgb="FFFFF7C9"/>
        <bgColor rgb="FFFCEAEA"/>
      </patternFill>
    </fill>
    <fill>
      <patternFill patternType="solid">
        <fgColor rgb="FFFCEAEA"/>
        <bgColor rgb="FFEDE6D2"/>
      </patternFill>
    </fill>
    <fill>
      <patternFill patternType="solid">
        <fgColor rgb="FF00BCD4"/>
        <bgColor rgb="FF1E88E5"/>
      </patternFill>
    </fill>
    <fill>
      <patternFill patternType="solid">
        <fgColor rgb="FFFF7043"/>
        <bgColor rgb="FFFF8080"/>
      </patternFill>
    </fill>
    <fill>
      <patternFill patternType="solid">
        <fgColor rgb="FF4CAF50"/>
        <bgColor rgb="FF388E3C"/>
      </patternFill>
    </fill>
    <fill>
      <patternFill patternType="solid">
        <fgColor rgb="FF1E88E5"/>
        <bgColor rgb="FF0066CC"/>
      </patternFill>
    </fill>
    <fill>
      <patternFill patternType="solid">
        <fgColor rgb="FFE91E63"/>
        <bgColor rgb="FFC62828"/>
      </patternFill>
    </fill>
    <fill>
      <patternFill patternType="solid">
        <fgColor rgb="FF8D6E63"/>
        <bgColor rgb="FF5C5851"/>
      </patternFill>
    </fill>
    <fill>
      <patternFill patternType="solid">
        <fgColor rgb="FF9E9E9E"/>
        <bgColor rgb="FF9999FF"/>
      </patternFill>
    </fill>
    <fill>
      <patternFill patternType="solid">
        <fgColor rgb="FF4DD0E1"/>
        <bgColor rgb="FF99CCFF"/>
      </patternFill>
    </fill>
    <fill>
      <patternFill patternType="solid">
        <fgColor rgb="FF212121"/>
        <bgColor rgb="FF221F1A"/>
      </patternFill>
    </fill>
    <fill>
      <patternFill patternType="solid">
        <fgColor rgb="FF388E3C"/>
        <bgColor rgb="FF4CAF50"/>
      </patternFill>
    </fill>
    <fill>
      <patternFill patternType="solid">
        <fgColor rgb="FFC62828"/>
        <bgColor rgb="FFE91E6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2B5"/>
      </left>
      <right style="thin">
        <color rgb="FFC8C2B5"/>
      </right>
      <top style="thin">
        <color rgb="FFC8C2B5"/>
      </top>
      <bottom style="thin">
        <color rgb="FFC8C2B5"/>
      </bottom>
      <diagonal/>
    </border>
    <border diagonalUp="false" diagonalDown="false">
      <left style="thin">
        <color rgb="FFC8C2B5"/>
      </left>
      <right style="thin">
        <color rgb="FFC8C2B5"/>
      </right>
      <top style="medium">
        <color rgb="FF221F1A"/>
      </top>
      <bottom style="medium">
        <color rgb="FF221F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CAF50"/>
      <rgbColor rgb="FF800080"/>
      <rgbColor rgb="FF008080"/>
      <rgbColor rgb="FFC8C2B5"/>
      <rgbColor rgb="FF8D6E63"/>
      <rgbColor rgb="FF9999FF"/>
      <rgbColor rgb="FF993366"/>
      <rgbColor rgb="FFFFF7C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CD4"/>
      <rgbColor rgb="FFCCFFFF"/>
      <rgbColor rgb="FFEDE6D2"/>
      <rgbColor rgb="FFFCEAEA"/>
      <rgbColor rgb="FF99CCFF"/>
      <rgbColor rgb="FFFF99CC"/>
      <rgbColor rgb="FFCC99FF"/>
      <rgbColor rgb="FFFFCC99"/>
      <rgbColor rgb="FF1E88E5"/>
      <rgbColor rgb="FF4DD0E1"/>
      <rgbColor rgb="FF99CC00"/>
      <rgbColor rgb="FFFFCC00"/>
      <rgbColor rgb="FFFF9900"/>
      <rgbColor rgb="FFFF7043"/>
      <rgbColor rgb="FF5C5851"/>
      <rgbColor rgb="FF9E9E9E"/>
      <rgbColor rgb="FF003366"/>
      <rgbColor rgb="FF388E3C"/>
      <rgbColor rgb="FF003300"/>
      <rgbColor rgb="FF221F1A"/>
      <rgbColor rgb="FFC62828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18" hidden="false" customHeight="true" outlineLevel="0" collapsed="false">
      <c r="A5" s="4" t="s">
        <v>3</v>
      </c>
      <c r="B5" s="4"/>
      <c r="C5" s="4"/>
      <c r="D5" s="4"/>
    </row>
    <row r="7" customFormat="false" ht="21.75" hidden="false" customHeight="true" outlineLevel="0" collapsed="false">
      <c r="A7" s="5" t="s">
        <v>4</v>
      </c>
      <c r="B7" s="5"/>
      <c r="C7" s="5"/>
      <c r="D7" s="5"/>
    </row>
    <row r="8" customFormat="false" ht="19.5" hidden="false" customHeight="true" outlineLevel="0" collapsed="false">
      <c r="A8" s="6" t="s">
        <v>5</v>
      </c>
      <c r="B8" s="7" t="n">
        <f aca="false">'Zone Reference'!D19</f>
        <v>44</v>
      </c>
      <c r="D8" s="8"/>
    </row>
    <row r="9" customFormat="false" ht="19.5" hidden="false" customHeight="true" outlineLevel="0" collapsed="false">
      <c r="A9" s="6" t="s">
        <v>6</v>
      </c>
      <c r="B9" s="9" t="n">
        <v>1</v>
      </c>
      <c r="D9" s="8"/>
    </row>
    <row r="10" customFormat="false" ht="19.5" hidden="false" customHeight="true" outlineLevel="0" collapsed="false">
      <c r="A10" s="6" t="s">
        <v>7</v>
      </c>
      <c r="B10" s="7" t="n">
        <f aca="false">B8+B9</f>
        <v>45</v>
      </c>
      <c r="D10" s="8"/>
    </row>
    <row r="11" customFormat="false" ht="19.5" hidden="false" customHeight="true" outlineLevel="0" collapsed="false">
      <c r="A11" s="6" t="s">
        <v>8</v>
      </c>
      <c r="B11" s="9" t="n">
        <v>11</v>
      </c>
      <c r="D11" s="8"/>
    </row>
    <row r="12" customFormat="false" ht="19.5" hidden="false" customHeight="true" outlineLevel="0" collapsed="false">
      <c r="A12" s="6" t="s">
        <v>9</v>
      </c>
      <c r="B12" s="10" t="n">
        <f aca="false">'Zone Reference'!G19</f>
        <v>24</v>
      </c>
      <c r="D12" s="8"/>
    </row>
    <row r="13" customFormat="false" ht="19.5" hidden="false" customHeight="true" outlineLevel="0" collapsed="false">
      <c r="A13" s="6" t="s">
        <v>10</v>
      </c>
      <c r="B13" s="11" t="n">
        <f aca="false">'Zone Reference'!H19</f>
        <v>240</v>
      </c>
      <c r="D13" s="8"/>
    </row>
    <row r="14" customFormat="false" ht="19.5" hidden="false" customHeight="true" outlineLevel="0" collapsed="false">
      <c r="A14" s="6" t="s">
        <v>11</v>
      </c>
      <c r="B14" s="12" t="n">
        <f aca="false">'Zone Reference'!I19</f>
        <v>2227.5</v>
      </c>
      <c r="D14" s="8"/>
    </row>
    <row r="16" customFormat="false" ht="21.75" hidden="false" customHeight="true" outlineLevel="0" collapsed="false">
      <c r="A16" s="5" t="s">
        <v>12</v>
      </c>
      <c r="B16" s="5"/>
      <c r="C16" s="5"/>
      <c r="D16" s="5"/>
    </row>
    <row r="17" customFormat="false" ht="19.5" hidden="false" customHeight="true" outlineLevel="0" collapsed="false">
      <c r="A17" s="6" t="s">
        <v>13</v>
      </c>
      <c r="B17" s="13"/>
      <c r="D17" s="8"/>
    </row>
    <row r="18" customFormat="false" ht="19.5" hidden="false" customHeight="true" outlineLevel="0" collapsed="false">
      <c r="A18" s="6" t="s">
        <v>14</v>
      </c>
      <c r="B18" s="13"/>
      <c r="D18" s="8"/>
    </row>
    <row r="19" customFormat="false" ht="19.5" hidden="false" customHeight="true" outlineLevel="0" collapsed="false">
      <c r="A19" s="6" t="s">
        <v>15</v>
      </c>
      <c r="B19" s="13"/>
      <c r="D19" s="8"/>
    </row>
    <row r="20" customFormat="false" ht="19.5" hidden="false" customHeight="true" outlineLevel="0" collapsed="false">
      <c r="A20" s="6" t="s">
        <v>16</v>
      </c>
      <c r="B20" s="13"/>
      <c r="D20" s="8"/>
    </row>
    <row r="21" customFormat="false" ht="19.5" hidden="false" customHeight="true" outlineLevel="0" collapsed="false">
      <c r="A21" s="6" t="s">
        <v>17</v>
      </c>
      <c r="B21" s="13"/>
      <c r="D21" s="8"/>
    </row>
    <row r="22" customFormat="false" ht="19.5" hidden="false" customHeight="true" outlineLevel="0" collapsed="false">
      <c r="A22" s="6" t="s">
        <v>18</v>
      </c>
      <c r="B22" s="13"/>
      <c r="D22" s="8"/>
    </row>
    <row r="24" customFormat="false" ht="21.75" hidden="false" customHeight="true" outlineLevel="0" collapsed="false">
      <c r="A24" s="5" t="s">
        <v>19</v>
      </c>
      <c r="B24" s="5"/>
      <c r="C24" s="5"/>
      <c r="D24" s="5"/>
    </row>
    <row r="25" customFormat="false" ht="19.5" hidden="false" customHeight="true" outlineLevel="0" collapsed="false">
      <c r="A25" s="6" t="s">
        <v>20</v>
      </c>
      <c r="B25" s="13"/>
      <c r="D25" s="8"/>
    </row>
    <row r="26" customFormat="false" ht="19.5" hidden="false" customHeight="true" outlineLevel="0" collapsed="false">
      <c r="A26" s="6" t="s">
        <v>21</v>
      </c>
      <c r="B26" s="13"/>
      <c r="D26" s="8"/>
    </row>
    <row r="27" customFormat="false" ht="19.5" hidden="false" customHeight="true" outlineLevel="0" collapsed="false">
      <c r="A27" s="6" t="s">
        <v>22</v>
      </c>
      <c r="B27" s="13"/>
      <c r="D27" s="8"/>
    </row>
    <row r="28" customFormat="false" ht="19.5" hidden="false" customHeight="true" outlineLevel="0" collapsed="false">
      <c r="A28" s="6" t="s">
        <v>23</v>
      </c>
      <c r="B28" s="13"/>
      <c r="D28" s="8"/>
    </row>
    <row r="29" customFormat="false" ht="19.5" hidden="false" customHeight="true" outlineLevel="0" collapsed="false">
      <c r="A29" s="6" t="s">
        <v>24</v>
      </c>
      <c r="B29" s="13"/>
      <c r="D29" s="8"/>
    </row>
    <row r="31" customFormat="false" ht="21.75" hidden="false" customHeight="true" outlineLevel="0" collapsed="false">
      <c r="A31" s="5" t="s">
        <v>25</v>
      </c>
      <c r="B31" s="5"/>
      <c r="C31" s="5"/>
      <c r="D31" s="5"/>
    </row>
    <row r="32" customFormat="false" ht="19.5" hidden="false" customHeight="true" outlineLevel="0" collapsed="false">
      <c r="A32" s="6" t="s">
        <v>26</v>
      </c>
      <c r="B32" s="13"/>
      <c r="D32" s="8"/>
    </row>
    <row r="33" customFormat="false" ht="19.5" hidden="false" customHeight="true" outlineLevel="0" collapsed="false">
      <c r="A33" s="6" t="s">
        <v>27</v>
      </c>
      <c r="B33" s="13"/>
      <c r="D33" s="8"/>
    </row>
    <row r="34" customFormat="false" ht="19.5" hidden="false" customHeight="true" outlineLevel="0" collapsed="false">
      <c r="A34" s="6" t="s">
        <v>28</v>
      </c>
      <c r="B34" s="13"/>
      <c r="D34" s="8"/>
    </row>
    <row r="36" customFormat="false" ht="21.75" hidden="false" customHeight="true" outlineLevel="0" collapsed="false">
      <c r="A36" s="5" t="s">
        <v>29</v>
      </c>
      <c r="B36" s="5"/>
      <c r="C36" s="5"/>
      <c r="D36" s="5"/>
    </row>
    <row r="37" customFormat="false" ht="24" hidden="false" customHeight="true" outlineLevel="0" collapsed="false">
      <c r="A37" s="14" t="s">
        <v>30</v>
      </c>
      <c r="B37" s="15"/>
      <c r="C37" s="15"/>
      <c r="D37" s="15"/>
    </row>
    <row r="38" customFormat="false" ht="24" hidden="false" customHeight="true" outlineLevel="0" collapsed="false">
      <c r="A38" s="14" t="s">
        <v>31</v>
      </c>
      <c r="B38" s="15"/>
      <c r="C38" s="15"/>
      <c r="D38" s="15"/>
    </row>
    <row r="39" customFormat="false" ht="24" hidden="false" customHeight="true" outlineLevel="0" collapsed="false">
      <c r="A39" s="14" t="s">
        <v>32</v>
      </c>
      <c r="B39" s="15"/>
      <c r="C39" s="15"/>
      <c r="D39" s="15"/>
    </row>
    <row r="40" customFormat="false" ht="24" hidden="false" customHeight="true" outlineLevel="0" collapsed="false">
      <c r="A40" s="14" t="s">
        <v>33</v>
      </c>
      <c r="B40" s="15"/>
      <c r="C40" s="15"/>
      <c r="D40" s="15"/>
    </row>
  </sheetData>
  <mergeCells count="13">
    <mergeCell ref="A1:D1"/>
    <mergeCell ref="A2:D2"/>
    <mergeCell ref="A3:D3"/>
    <mergeCell ref="A5:D5"/>
    <mergeCell ref="A7:D7"/>
    <mergeCell ref="A16:D16"/>
    <mergeCell ref="A24:D24"/>
    <mergeCell ref="A31:D31"/>
    <mergeCell ref="A36:D36"/>
    <mergeCell ref="B37:D37"/>
    <mergeCell ref="B38:D38"/>
    <mergeCell ref="B39:D39"/>
    <mergeCell ref="B40:D40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6" min="5" style="0" width="14"/>
    <col collapsed="false" customWidth="true" hidden="false" outlineLevel="0" max="7" min="7" style="0" width="38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8" hidden="false" customHeight="true" outlineLevel="0" collapsed="false">
      <c r="A5" s="4" t="s">
        <v>36</v>
      </c>
      <c r="B5" s="4"/>
      <c r="C5" s="4"/>
      <c r="D5" s="4"/>
      <c r="E5" s="4"/>
      <c r="F5" s="4"/>
      <c r="G5" s="4"/>
    </row>
    <row r="7" customFormat="false" ht="24" hidden="false" customHeight="true" outlineLevel="0" collapsed="false">
      <c r="A7" s="16" t="s">
        <v>37</v>
      </c>
      <c r="B7" s="16" t="s">
        <v>38</v>
      </c>
      <c r="C7" s="16" t="s">
        <v>39</v>
      </c>
      <c r="D7" s="16" t="s">
        <v>40</v>
      </c>
      <c r="E7" s="16" t="s">
        <v>41</v>
      </c>
      <c r="F7" s="16" t="s">
        <v>42</v>
      </c>
      <c r="G7" s="16" t="s">
        <v>43</v>
      </c>
    </row>
    <row r="8" customFormat="false" ht="19.5" hidden="false" customHeight="true" outlineLevel="0" collapsed="false">
      <c r="A8" s="17" t="s">
        <v>44</v>
      </c>
      <c r="B8" s="18" t="s">
        <v>45</v>
      </c>
      <c r="C8" s="19" t="s">
        <v>46</v>
      </c>
      <c r="D8" s="19"/>
      <c r="E8" s="18" t="s">
        <v>47</v>
      </c>
      <c r="F8" s="20"/>
      <c r="G8" s="21"/>
    </row>
    <row r="9" customFormat="false" ht="19.5" hidden="false" customHeight="true" outlineLevel="0" collapsed="false">
      <c r="A9" s="17" t="s">
        <v>48</v>
      </c>
      <c r="B9" s="18" t="s">
        <v>45</v>
      </c>
      <c r="C9" s="19" t="s">
        <v>46</v>
      </c>
      <c r="D9" s="19"/>
      <c r="E9" s="18" t="s">
        <v>47</v>
      </c>
      <c r="F9" s="20"/>
      <c r="G9" s="21"/>
    </row>
    <row r="10" customFormat="false" ht="19.5" hidden="false" customHeight="true" outlineLevel="0" collapsed="false">
      <c r="A10" s="17" t="s">
        <v>49</v>
      </c>
      <c r="B10" s="18" t="s">
        <v>45</v>
      </c>
      <c r="C10" s="19" t="s">
        <v>46</v>
      </c>
      <c r="D10" s="19"/>
      <c r="E10" s="18" t="s">
        <v>47</v>
      </c>
      <c r="F10" s="20"/>
      <c r="G10" s="21"/>
    </row>
    <row r="11" customFormat="false" ht="19.5" hidden="false" customHeight="true" outlineLevel="0" collapsed="false">
      <c r="A11" s="17" t="s">
        <v>50</v>
      </c>
      <c r="B11" s="18" t="s">
        <v>45</v>
      </c>
      <c r="C11" s="19" t="s">
        <v>46</v>
      </c>
      <c r="D11" s="19"/>
      <c r="E11" s="18" t="s">
        <v>47</v>
      </c>
      <c r="F11" s="20"/>
      <c r="G11" s="21"/>
    </row>
    <row r="12" customFormat="false" ht="19.5" hidden="false" customHeight="true" outlineLevel="0" collapsed="false">
      <c r="A12" s="17" t="s">
        <v>51</v>
      </c>
      <c r="B12" s="18" t="s">
        <v>45</v>
      </c>
      <c r="C12" s="19" t="s">
        <v>46</v>
      </c>
      <c r="D12" s="19"/>
      <c r="E12" s="18" t="s">
        <v>47</v>
      </c>
      <c r="F12" s="20"/>
      <c r="G12" s="21"/>
    </row>
    <row r="13" customFormat="false" ht="19.5" hidden="false" customHeight="true" outlineLevel="0" collapsed="false">
      <c r="A13" s="17" t="s">
        <v>52</v>
      </c>
      <c r="B13" s="18" t="s">
        <v>53</v>
      </c>
      <c r="C13" s="19" t="s">
        <v>46</v>
      </c>
      <c r="D13" s="19"/>
      <c r="E13" s="18" t="s">
        <v>47</v>
      </c>
      <c r="F13" s="20"/>
      <c r="G13" s="21"/>
    </row>
    <row r="14" customFormat="false" ht="19.5" hidden="false" customHeight="true" outlineLevel="0" collapsed="false">
      <c r="A14" s="17" t="s">
        <v>54</v>
      </c>
      <c r="B14" s="18" t="s">
        <v>53</v>
      </c>
      <c r="C14" s="19" t="s">
        <v>46</v>
      </c>
      <c r="D14" s="19"/>
      <c r="E14" s="18" t="s">
        <v>47</v>
      </c>
      <c r="F14" s="20"/>
      <c r="G14" s="21"/>
    </row>
    <row r="15" customFormat="false" ht="19.5" hidden="false" customHeight="true" outlineLevel="0" collapsed="false">
      <c r="A15" s="17" t="s">
        <v>55</v>
      </c>
      <c r="B15" s="18" t="s">
        <v>53</v>
      </c>
      <c r="C15" s="19" t="s">
        <v>46</v>
      </c>
      <c r="D15" s="19"/>
      <c r="E15" s="18" t="s">
        <v>47</v>
      </c>
      <c r="F15" s="20"/>
      <c r="G15" s="21"/>
    </row>
    <row r="16" customFormat="false" ht="19.5" hidden="false" customHeight="true" outlineLevel="0" collapsed="false">
      <c r="A16" s="17" t="s">
        <v>56</v>
      </c>
      <c r="B16" s="18" t="s">
        <v>53</v>
      </c>
      <c r="C16" s="19" t="s">
        <v>46</v>
      </c>
      <c r="D16" s="19"/>
      <c r="E16" s="18" t="s">
        <v>47</v>
      </c>
      <c r="F16" s="20"/>
      <c r="G16" s="21"/>
    </row>
    <row r="17" customFormat="false" ht="19.5" hidden="false" customHeight="true" outlineLevel="0" collapsed="false">
      <c r="A17" s="17" t="s">
        <v>57</v>
      </c>
      <c r="B17" s="18" t="s">
        <v>58</v>
      </c>
      <c r="C17" s="19" t="s">
        <v>59</v>
      </c>
      <c r="D17" s="19"/>
      <c r="E17" s="18" t="s">
        <v>47</v>
      </c>
      <c r="F17" s="20"/>
      <c r="G17" s="21"/>
    </row>
    <row r="18" customFormat="false" ht="19.5" hidden="false" customHeight="true" outlineLevel="0" collapsed="false">
      <c r="A18" s="17" t="s">
        <v>60</v>
      </c>
      <c r="B18" s="18" t="s">
        <v>58</v>
      </c>
      <c r="C18" s="19" t="s">
        <v>59</v>
      </c>
      <c r="D18" s="19"/>
      <c r="E18" s="18" t="s">
        <v>47</v>
      </c>
      <c r="F18" s="20"/>
      <c r="G18" s="21"/>
    </row>
    <row r="19" customFormat="false" ht="19.5" hidden="false" customHeight="true" outlineLevel="0" collapsed="false">
      <c r="A19" s="17" t="s">
        <v>61</v>
      </c>
      <c r="B19" s="18" t="s">
        <v>58</v>
      </c>
      <c r="C19" s="19" t="s">
        <v>59</v>
      </c>
      <c r="D19" s="19"/>
      <c r="E19" s="18" t="s">
        <v>47</v>
      </c>
      <c r="F19" s="20"/>
      <c r="G19" s="21"/>
    </row>
    <row r="20" customFormat="false" ht="19.5" hidden="false" customHeight="true" outlineLevel="0" collapsed="false">
      <c r="A20" s="17" t="s">
        <v>62</v>
      </c>
      <c r="B20" s="18" t="s">
        <v>58</v>
      </c>
      <c r="C20" s="19" t="s">
        <v>59</v>
      </c>
      <c r="D20" s="19"/>
      <c r="E20" s="18" t="s">
        <v>47</v>
      </c>
      <c r="F20" s="20"/>
      <c r="G20" s="21"/>
    </row>
    <row r="21" customFormat="false" ht="19.5" hidden="false" customHeight="true" outlineLevel="0" collapsed="false">
      <c r="A21" s="17" t="s">
        <v>63</v>
      </c>
      <c r="B21" s="18" t="s">
        <v>58</v>
      </c>
      <c r="C21" s="19" t="s">
        <v>59</v>
      </c>
      <c r="D21" s="19"/>
      <c r="E21" s="18" t="s">
        <v>47</v>
      </c>
      <c r="F21" s="20"/>
      <c r="G21" s="21"/>
    </row>
    <row r="22" customFormat="false" ht="19.5" hidden="false" customHeight="true" outlineLevel="0" collapsed="false">
      <c r="A22" s="17" t="s">
        <v>64</v>
      </c>
      <c r="B22" s="18" t="s">
        <v>58</v>
      </c>
      <c r="C22" s="19" t="s">
        <v>59</v>
      </c>
      <c r="D22" s="19"/>
      <c r="E22" s="18" t="s">
        <v>47</v>
      </c>
      <c r="F22" s="20"/>
      <c r="G22" s="21"/>
    </row>
    <row r="23" customFormat="false" ht="19.5" hidden="false" customHeight="true" outlineLevel="0" collapsed="false">
      <c r="A23" s="17" t="s">
        <v>65</v>
      </c>
      <c r="B23" s="18" t="s">
        <v>58</v>
      </c>
      <c r="C23" s="19" t="s">
        <v>59</v>
      </c>
      <c r="D23" s="19"/>
      <c r="E23" s="18" t="s">
        <v>47</v>
      </c>
      <c r="F23" s="20"/>
      <c r="G23" s="21"/>
    </row>
    <row r="24" customFormat="false" ht="19.5" hidden="false" customHeight="true" outlineLevel="0" collapsed="false">
      <c r="A24" s="17" t="s">
        <v>66</v>
      </c>
      <c r="B24" s="18" t="s">
        <v>58</v>
      </c>
      <c r="C24" s="19" t="s">
        <v>59</v>
      </c>
      <c r="D24" s="19"/>
      <c r="E24" s="18" t="s">
        <v>47</v>
      </c>
      <c r="F24" s="20"/>
      <c r="G24" s="21"/>
    </row>
    <row r="25" customFormat="false" ht="19.5" hidden="false" customHeight="true" outlineLevel="0" collapsed="false">
      <c r="A25" s="17" t="s">
        <v>67</v>
      </c>
      <c r="B25" s="18" t="s">
        <v>68</v>
      </c>
      <c r="C25" s="19" t="s">
        <v>46</v>
      </c>
      <c r="D25" s="19"/>
      <c r="E25" s="18" t="s">
        <v>47</v>
      </c>
      <c r="F25" s="20"/>
      <c r="G25" s="21"/>
    </row>
    <row r="26" customFormat="false" ht="19.5" hidden="false" customHeight="true" outlineLevel="0" collapsed="false">
      <c r="A26" s="17" t="s">
        <v>69</v>
      </c>
      <c r="B26" s="18" t="s">
        <v>68</v>
      </c>
      <c r="C26" s="19" t="s">
        <v>46</v>
      </c>
      <c r="D26" s="19"/>
      <c r="E26" s="18" t="s">
        <v>47</v>
      </c>
      <c r="F26" s="20"/>
      <c r="G26" s="21"/>
    </row>
    <row r="27" customFormat="false" ht="19.5" hidden="false" customHeight="true" outlineLevel="0" collapsed="false">
      <c r="A27" s="17" t="s">
        <v>70</v>
      </c>
      <c r="B27" s="18" t="s">
        <v>68</v>
      </c>
      <c r="C27" s="19" t="s">
        <v>46</v>
      </c>
      <c r="D27" s="19"/>
      <c r="E27" s="18" t="s">
        <v>47</v>
      </c>
      <c r="F27" s="20"/>
      <c r="G27" s="21"/>
    </row>
    <row r="28" customFormat="false" ht="19.5" hidden="false" customHeight="true" outlineLevel="0" collapsed="false">
      <c r="A28" s="17" t="s">
        <v>71</v>
      </c>
      <c r="B28" s="18" t="s">
        <v>72</v>
      </c>
      <c r="C28" s="19" t="s">
        <v>46</v>
      </c>
      <c r="D28" s="19"/>
      <c r="E28" s="18" t="s">
        <v>47</v>
      </c>
      <c r="F28" s="20"/>
      <c r="G28" s="21"/>
    </row>
    <row r="29" customFormat="false" ht="19.5" hidden="false" customHeight="true" outlineLevel="0" collapsed="false">
      <c r="A29" s="17" t="s">
        <v>73</v>
      </c>
      <c r="B29" s="18" t="s">
        <v>72</v>
      </c>
      <c r="C29" s="19" t="s">
        <v>46</v>
      </c>
      <c r="D29" s="19"/>
      <c r="E29" s="18" t="s">
        <v>47</v>
      </c>
      <c r="F29" s="20"/>
      <c r="G29" s="21"/>
    </row>
    <row r="30" customFormat="false" ht="19.5" hidden="false" customHeight="true" outlineLevel="0" collapsed="false">
      <c r="A30" s="17" t="s">
        <v>74</v>
      </c>
      <c r="B30" s="18" t="s">
        <v>72</v>
      </c>
      <c r="C30" s="19" t="s">
        <v>46</v>
      </c>
      <c r="D30" s="19"/>
      <c r="E30" s="18" t="s">
        <v>47</v>
      </c>
      <c r="F30" s="20"/>
      <c r="G30" s="21"/>
    </row>
    <row r="31" customFormat="false" ht="19.5" hidden="false" customHeight="true" outlineLevel="0" collapsed="false">
      <c r="A31" s="17" t="s">
        <v>75</v>
      </c>
      <c r="B31" s="18" t="s">
        <v>72</v>
      </c>
      <c r="C31" s="19" t="s">
        <v>46</v>
      </c>
      <c r="D31" s="19"/>
      <c r="E31" s="18" t="s">
        <v>47</v>
      </c>
      <c r="F31" s="20"/>
      <c r="G31" s="21"/>
    </row>
    <row r="32" customFormat="false" ht="19.5" hidden="false" customHeight="true" outlineLevel="0" collapsed="false">
      <c r="A32" s="17" t="s">
        <v>76</v>
      </c>
      <c r="B32" s="18" t="s">
        <v>77</v>
      </c>
      <c r="C32" s="19" t="s">
        <v>78</v>
      </c>
      <c r="D32" s="19"/>
      <c r="E32" s="18" t="s">
        <v>47</v>
      </c>
      <c r="F32" s="20"/>
      <c r="G32" s="21"/>
    </row>
    <row r="33" customFormat="false" ht="19.5" hidden="false" customHeight="true" outlineLevel="0" collapsed="false">
      <c r="A33" s="17" t="s">
        <v>79</v>
      </c>
      <c r="B33" s="18" t="s">
        <v>77</v>
      </c>
      <c r="C33" s="19" t="s">
        <v>78</v>
      </c>
      <c r="D33" s="19"/>
      <c r="E33" s="18" t="s">
        <v>47</v>
      </c>
      <c r="F33" s="20"/>
      <c r="G33" s="21"/>
    </row>
    <row r="34" customFormat="false" ht="19.5" hidden="false" customHeight="true" outlineLevel="0" collapsed="false">
      <c r="A34" s="17" t="s">
        <v>80</v>
      </c>
      <c r="B34" s="18" t="s">
        <v>77</v>
      </c>
      <c r="C34" s="19" t="s">
        <v>78</v>
      </c>
      <c r="D34" s="19"/>
      <c r="E34" s="18" t="s">
        <v>47</v>
      </c>
      <c r="F34" s="20"/>
      <c r="G34" s="21"/>
    </row>
    <row r="35" customFormat="false" ht="19.5" hidden="false" customHeight="true" outlineLevel="0" collapsed="false">
      <c r="A35" s="17" t="s">
        <v>81</v>
      </c>
      <c r="B35" s="18" t="s">
        <v>82</v>
      </c>
      <c r="C35" s="19" t="s">
        <v>46</v>
      </c>
      <c r="D35" s="19"/>
      <c r="E35" s="22" t="s">
        <v>83</v>
      </c>
      <c r="F35" s="20"/>
      <c r="G35" s="23" t="s">
        <v>84</v>
      </c>
    </row>
    <row r="36" customFormat="false" ht="19.5" hidden="false" customHeight="true" outlineLevel="0" collapsed="false">
      <c r="A36" s="17" t="s">
        <v>85</v>
      </c>
      <c r="B36" s="18" t="s">
        <v>82</v>
      </c>
      <c r="C36" s="19" t="s">
        <v>46</v>
      </c>
      <c r="D36" s="19"/>
      <c r="E36" s="18" t="s">
        <v>47</v>
      </c>
      <c r="F36" s="20"/>
      <c r="G36" s="21"/>
    </row>
    <row r="37" customFormat="false" ht="19.5" hidden="false" customHeight="true" outlineLevel="0" collapsed="false">
      <c r="A37" s="17" t="s">
        <v>86</v>
      </c>
      <c r="B37" s="18" t="s">
        <v>82</v>
      </c>
      <c r="C37" s="19" t="s">
        <v>46</v>
      </c>
      <c r="D37" s="19"/>
      <c r="E37" s="18" t="s">
        <v>47</v>
      </c>
      <c r="F37" s="20"/>
      <c r="G37" s="21"/>
    </row>
    <row r="38" customFormat="false" ht="19.5" hidden="false" customHeight="true" outlineLevel="0" collapsed="false">
      <c r="A38" s="17" t="s">
        <v>87</v>
      </c>
      <c r="B38" s="18" t="s">
        <v>82</v>
      </c>
      <c r="C38" s="19" t="s">
        <v>46</v>
      </c>
      <c r="D38" s="19"/>
      <c r="E38" s="18" t="s">
        <v>47</v>
      </c>
      <c r="F38" s="20"/>
      <c r="G38" s="21"/>
    </row>
    <row r="39" customFormat="false" ht="19.5" hidden="false" customHeight="true" outlineLevel="0" collapsed="false">
      <c r="A39" s="17" t="s">
        <v>88</v>
      </c>
      <c r="B39" s="18" t="s">
        <v>89</v>
      </c>
      <c r="C39" s="19" t="s">
        <v>59</v>
      </c>
      <c r="D39" s="19"/>
      <c r="E39" s="18" t="s">
        <v>47</v>
      </c>
      <c r="F39" s="20"/>
      <c r="G39" s="21"/>
    </row>
    <row r="40" customFormat="false" ht="19.5" hidden="false" customHeight="true" outlineLevel="0" collapsed="false">
      <c r="A40" s="17" t="s">
        <v>90</v>
      </c>
      <c r="B40" s="18" t="s">
        <v>89</v>
      </c>
      <c r="C40" s="19" t="s">
        <v>59</v>
      </c>
      <c r="D40" s="19"/>
      <c r="E40" s="18" t="s">
        <v>47</v>
      </c>
      <c r="F40" s="20"/>
      <c r="G40" s="21"/>
    </row>
    <row r="41" customFormat="false" ht="19.5" hidden="false" customHeight="true" outlineLevel="0" collapsed="false">
      <c r="A41" s="17" t="s">
        <v>91</v>
      </c>
      <c r="B41" s="18" t="s">
        <v>89</v>
      </c>
      <c r="C41" s="19" t="s">
        <v>59</v>
      </c>
      <c r="D41" s="19"/>
      <c r="E41" s="18" t="s">
        <v>47</v>
      </c>
      <c r="F41" s="20"/>
      <c r="G41" s="21"/>
    </row>
    <row r="42" customFormat="false" ht="19.5" hidden="false" customHeight="true" outlineLevel="0" collapsed="false">
      <c r="A42" s="17" t="s">
        <v>92</v>
      </c>
      <c r="B42" s="18" t="s">
        <v>93</v>
      </c>
      <c r="C42" s="19" t="s">
        <v>46</v>
      </c>
      <c r="D42" s="19"/>
      <c r="E42" s="18" t="s">
        <v>47</v>
      </c>
      <c r="F42" s="20"/>
      <c r="G42" s="21"/>
    </row>
    <row r="43" customFormat="false" ht="19.5" hidden="false" customHeight="true" outlineLevel="0" collapsed="false">
      <c r="A43" s="17" t="s">
        <v>94</v>
      </c>
      <c r="B43" s="18" t="s">
        <v>93</v>
      </c>
      <c r="C43" s="19" t="s">
        <v>46</v>
      </c>
      <c r="D43" s="19"/>
      <c r="E43" s="18" t="s">
        <v>47</v>
      </c>
      <c r="F43" s="20"/>
      <c r="G43" s="21"/>
    </row>
    <row r="44" customFormat="false" ht="19.5" hidden="false" customHeight="true" outlineLevel="0" collapsed="false">
      <c r="A44" s="17" t="s">
        <v>95</v>
      </c>
      <c r="B44" s="18" t="s">
        <v>93</v>
      </c>
      <c r="C44" s="19" t="s">
        <v>46</v>
      </c>
      <c r="D44" s="19"/>
      <c r="E44" s="18" t="s">
        <v>47</v>
      </c>
      <c r="F44" s="20"/>
      <c r="G44" s="21"/>
    </row>
    <row r="45" customFormat="false" ht="19.5" hidden="false" customHeight="true" outlineLevel="0" collapsed="false">
      <c r="A45" s="17" t="s">
        <v>96</v>
      </c>
      <c r="B45" s="18" t="s">
        <v>93</v>
      </c>
      <c r="C45" s="19" t="s">
        <v>46</v>
      </c>
      <c r="D45" s="19"/>
      <c r="E45" s="18" t="s">
        <v>47</v>
      </c>
      <c r="F45" s="20"/>
      <c r="G45" s="21"/>
    </row>
    <row r="46" customFormat="false" ht="19.5" hidden="false" customHeight="true" outlineLevel="0" collapsed="false">
      <c r="A46" s="17" t="s">
        <v>97</v>
      </c>
      <c r="B46" s="18" t="s">
        <v>93</v>
      </c>
      <c r="C46" s="19" t="s">
        <v>46</v>
      </c>
      <c r="D46" s="19"/>
      <c r="E46" s="18" t="s">
        <v>47</v>
      </c>
      <c r="F46" s="20"/>
      <c r="G46" s="21"/>
    </row>
    <row r="47" customFormat="false" ht="19.5" hidden="false" customHeight="true" outlineLevel="0" collapsed="false">
      <c r="A47" s="17" t="s">
        <v>98</v>
      </c>
      <c r="B47" s="18" t="s">
        <v>93</v>
      </c>
      <c r="C47" s="19" t="s">
        <v>46</v>
      </c>
      <c r="D47" s="19"/>
      <c r="E47" s="18" t="s">
        <v>47</v>
      </c>
      <c r="F47" s="20"/>
      <c r="G47" s="21"/>
    </row>
    <row r="48" customFormat="false" ht="19.5" hidden="false" customHeight="true" outlineLevel="0" collapsed="false">
      <c r="A48" s="17" t="s">
        <v>99</v>
      </c>
      <c r="B48" s="18" t="s">
        <v>100</v>
      </c>
      <c r="C48" s="19" t="s">
        <v>59</v>
      </c>
      <c r="D48" s="19"/>
      <c r="E48" s="18" t="s">
        <v>47</v>
      </c>
      <c r="F48" s="20"/>
      <c r="G48" s="21"/>
    </row>
    <row r="49" customFormat="false" ht="19.5" hidden="false" customHeight="true" outlineLevel="0" collapsed="false">
      <c r="A49" s="17" t="s">
        <v>101</v>
      </c>
      <c r="B49" s="18" t="s">
        <v>100</v>
      </c>
      <c r="C49" s="19" t="s">
        <v>59</v>
      </c>
      <c r="D49" s="19"/>
      <c r="E49" s="18" t="s">
        <v>47</v>
      </c>
      <c r="F49" s="20"/>
      <c r="G49" s="21"/>
    </row>
    <row r="50" customFormat="false" ht="19.5" hidden="false" customHeight="true" outlineLevel="0" collapsed="false">
      <c r="A50" s="17" t="s">
        <v>102</v>
      </c>
      <c r="B50" s="18" t="s">
        <v>100</v>
      </c>
      <c r="C50" s="19" t="s">
        <v>59</v>
      </c>
      <c r="D50" s="19"/>
      <c r="E50" s="18" t="s">
        <v>47</v>
      </c>
      <c r="F50" s="20"/>
      <c r="G50" s="21"/>
    </row>
    <row r="51" customFormat="false" ht="19.5" hidden="false" customHeight="true" outlineLevel="0" collapsed="false">
      <c r="A51" s="17" t="s">
        <v>103</v>
      </c>
      <c r="B51" s="18" t="s">
        <v>100</v>
      </c>
      <c r="C51" s="19" t="s">
        <v>59</v>
      </c>
      <c r="D51" s="19"/>
      <c r="E51" s="18" t="s">
        <v>47</v>
      </c>
      <c r="F51" s="20"/>
      <c r="G51" s="21"/>
    </row>
    <row r="52" customFormat="false" ht="19.5" hidden="false" customHeight="true" outlineLevel="0" collapsed="false">
      <c r="A52" s="24" t="s">
        <v>104</v>
      </c>
      <c r="B52" s="22" t="s">
        <v>105</v>
      </c>
      <c r="C52" s="25" t="s">
        <v>106</v>
      </c>
      <c r="D52" s="23" t="s">
        <v>107</v>
      </c>
      <c r="E52" s="22" t="s">
        <v>106</v>
      </c>
      <c r="F52" s="25"/>
      <c r="G52" s="23" t="s">
        <v>108</v>
      </c>
    </row>
  </sheetData>
  <mergeCells count="4">
    <mergeCell ref="A1:G1"/>
    <mergeCell ref="A2:G2"/>
    <mergeCell ref="A3:G3"/>
    <mergeCell ref="A5:G5"/>
  </mergeCells>
  <dataValidations count="2">
    <dataValidation allowBlank="true" errorStyle="stop" operator="between" showDropDown="false" showErrorMessage="false" showInputMessage="false" sqref="E8:E52" type="list">
      <formula1>"OK,Needs service,Broken,Unknown,Replaced"</formula1>
      <formula2>0</formula2>
    </dataValidation>
    <dataValidation allowBlank="true" errorStyle="stop" operator="between" showDropDown="false" showErrorMessage="false" showInputMessage="false" sqref="C8:C51" type="list">
      <formula1>"Pop-up spray,Rotor,Drip,Bubbler"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32"/>
  </cols>
  <sheetData>
    <row r="1" customFormat="false" ht="27.7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8" hidden="false" customHeight="true" outlineLevel="0" collapsed="false">
      <c r="A5" s="4" t="s">
        <v>111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customFormat="false" ht="27.75" hidden="false" customHeight="true" outlineLevel="0" collapsed="false">
      <c r="A7" s="16" t="s">
        <v>38</v>
      </c>
      <c r="B7" s="16" t="s">
        <v>112</v>
      </c>
      <c r="C7" s="16" t="s">
        <v>113</v>
      </c>
      <c r="D7" s="16" t="s">
        <v>114</v>
      </c>
      <c r="E7" s="16" t="s">
        <v>115</v>
      </c>
      <c r="F7" s="16" t="s">
        <v>116</v>
      </c>
      <c r="G7" s="16" t="s">
        <v>117</v>
      </c>
      <c r="H7" s="16" t="s">
        <v>118</v>
      </c>
      <c r="I7" s="16" t="s">
        <v>119</v>
      </c>
      <c r="J7" s="16" t="s">
        <v>120</v>
      </c>
      <c r="K7" s="16" t="s">
        <v>41</v>
      </c>
      <c r="L7" s="16" t="s">
        <v>43</v>
      </c>
    </row>
    <row r="8" customFormat="false" ht="21.75" hidden="false" customHeight="true" outlineLevel="0" collapsed="false">
      <c r="A8" s="17" t="s">
        <v>45</v>
      </c>
      <c r="B8" s="21" t="s">
        <v>121</v>
      </c>
      <c r="C8" s="26"/>
      <c r="D8" s="25" t="n">
        <v>5</v>
      </c>
      <c r="E8" s="19" t="s">
        <v>46</v>
      </c>
      <c r="F8" s="27" t="n">
        <v>1.5</v>
      </c>
      <c r="G8" s="28" t="n">
        <f aca="false">D8*F8</f>
        <v>7.5</v>
      </c>
      <c r="H8" s="9" t="n">
        <v>15</v>
      </c>
      <c r="I8" s="29" t="n">
        <f aca="false">G8*H8</f>
        <v>112.5</v>
      </c>
      <c r="J8" s="30"/>
      <c r="K8" s="18" t="s">
        <v>47</v>
      </c>
      <c r="L8" s="21"/>
    </row>
    <row r="9" customFormat="false" ht="21.75" hidden="false" customHeight="true" outlineLevel="0" collapsed="false">
      <c r="A9" s="17" t="s">
        <v>53</v>
      </c>
      <c r="B9" s="21" t="s">
        <v>122</v>
      </c>
      <c r="C9" s="31"/>
      <c r="D9" s="25" t="n">
        <v>4</v>
      </c>
      <c r="E9" s="19" t="s">
        <v>46</v>
      </c>
      <c r="F9" s="27" t="n">
        <v>1.5</v>
      </c>
      <c r="G9" s="28" t="n">
        <f aca="false">D9*F9</f>
        <v>6</v>
      </c>
      <c r="H9" s="9" t="n">
        <v>15</v>
      </c>
      <c r="I9" s="29" t="n">
        <f aca="false">G9*H9</f>
        <v>90</v>
      </c>
      <c r="J9" s="30"/>
      <c r="K9" s="18" t="s">
        <v>47</v>
      </c>
      <c r="L9" s="21"/>
    </row>
    <row r="10" customFormat="false" ht="21.75" hidden="false" customHeight="true" outlineLevel="0" collapsed="false">
      <c r="A10" s="17" t="s">
        <v>58</v>
      </c>
      <c r="B10" s="21" t="s">
        <v>123</v>
      </c>
      <c r="C10" s="32"/>
      <c r="D10" s="25" t="n">
        <v>8</v>
      </c>
      <c r="E10" s="19" t="s">
        <v>59</v>
      </c>
      <c r="F10" s="27" t="n">
        <v>3</v>
      </c>
      <c r="G10" s="28" t="n">
        <f aca="false">D10*F10</f>
        <v>24</v>
      </c>
      <c r="H10" s="9" t="n">
        <v>35</v>
      </c>
      <c r="I10" s="29" t="n">
        <f aca="false">G10*H10</f>
        <v>840</v>
      </c>
      <c r="J10" s="21" t="s">
        <v>124</v>
      </c>
      <c r="K10" s="18" t="s">
        <v>47</v>
      </c>
      <c r="L10" s="33" t="s">
        <v>125</v>
      </c>
    </row>
    <row r="11" customFormat="false" ht="21.75" hidden="false" customHeight="true" outlineLevel="0" collapsed="false">
      <c r="A11" s="17" t="s">
        <v>68</v>
      </c>
      <c r="B11" s="21" t="s">
        <v>126</v>
      </c>
      <c r="C11" s="34"/>
      <c r="D11" s="25" t="n">
        <v>3</v>
      </c>
      <c r="E11" s="19" t="s">
        <v>46</v>
      </c>
      <c r="F11" s="27" t="n">
        <v>1.5</v>
      </c>
      <c r="G11" s="28" t="n">
        <f aca="false">D11*F11</f>
        <v>4.5</v>
      </c>
      <c r="H11" s="9" t="n">
        <v>15</v>
      </c>
      <c r="I11" s="29" t="n">
        <f aca="false">G11*H11</f>
        <v>67.5</v>
      </c>
      <c r="J11" s="30"/>
      <c r="K11" s="18" t="s">
        <v>47</v>
      </c>
      <c r="L11" s="21"/>
    </row>
    <row r="12" customFormat="false" ht="21.75" hidden="false" customHeight="true" outlineLevel="0" collapsed="false">
      <c r="A12" s="17" t="s">
        <v>72</v>
      </c>
      <c r="B12" s="21" t="s">
        <v>127</v>
      </c>
      <c r="C12" s="35"/>
      <c r="D12" s="25" t="n">
        <v>4</v>
      </c>
      <c r="E12" s="19" t="s">
        <v>46</v>
      </c>
      <c r="F12" s="27" t="n">
        <v>1.5</v>
      </c>
      <c r="G12" s="28" t="n">
        <f aca="false">D12*F12</f>
        <v>6</v>
      </c>
      <c r="H12" s="9" t="n">
        <v>15</v>
      </c>
      <c r="I12" s="29" t="n">
        <f aca="false">G12*H12</f>
        <v>90</v>
      </c>
      <c r="J12" s="30"/>
      <c r="K12" s="18" t="s">
        <v>47</v>
      </c>
      <c r="L12" s="21"/>
    </row>
    <row r="13" customFormat="false" ht="21.75" hidden="false" customHeight="true" outlineLevel="0" collapsed="false">
      <c r="A13" s="17" t="s">
        <v>77</v>
      </c>
      <c r="B13" s="21" t="s">
        <v>128</v>
      </c>
      <c r="C13" s="36"/>
      <c r="D13" s="25" t="n">
        <v>3</v>
      </c>
      <c r="E13" s="19" t="s">
        <v>78</v>
      </c>
      <c r="F13" s="27" t="n">
        <v>0.5</v>
      </c>
      <c r="G13" s="28" t="n">
        <f aca="false">D13*F13</f>
        <v>1.5</v>
      </c>
      <c r="H13" s="9" t="n">
        <v>45</v>
      </c>
      <c r="I13" s="29" t="n">
        <f aca="false">G13*H13</f>
        <v>67.5</v>
      </c>
      <c r="J13" s="30"/>
      <c r="K13" s="18" t="s">
        <v>47</v>
      </c>
      <c r="L13" s="21"/>
    </row>
    <row r="14" customFormat="false" ht="21.75" hidden="false" customHeight="true" outlineLevel="0" collapsed="false">
      <c r="A14" s="17" t="s">
        <v>82</v>
      </c>
      <c r="B14" s="21" t="s">
        <v>129</v>
      </c>
      <c r="C14" s="37"/>
      <c r="D14" s="25" t="n">
        <v>4</v>
      </c>
      <c r="E14" s="19" t="s">
        <v>46</v>
      </c>
      <c r="F14" s="27" t="n">
        <v>1.5</v>
      </c>
      <c r="G14" s="28" t="n">
        <f aca="false">D14*F14</f>
        <v>6</v>
      </c>
      <c r="H14" s="9" t="n">
        <v>15</v>
      </c>
      <c r="I14" s="29" t="n">
        <f aca="false">G14*H14</f>
        <v>90</v>
      </c>
      <c r="J14" s="21" t="s">
        <v>130</v>
      </c>
      <c r="K14" s="22" t="s">
        <v>131</v>
      </c>
      <c r="L14" s="23" t="s">
        <v>132</v>
      </c>
    </row>
    <row r="15" customFormat="false" ht="21.75" hidden="false" customHeight="true" outlineLevel="0" collapsed="false">
      <c r="A15" s="17" t="s">
        <v>89</v>
      </c>
      <c r="B15" s="21" t="s">
        <v>133</v>
      </c>
      <c r="C15" s="38"/>
      <c r="D15" s="25" t="n">
        <v>3</v>
      </c>
      <c r="E15" s="19" t="s">
        <v>59</v>
      </c>
      <c r="F15" s="27" t="n">
        <v>3</v>
      </c>
      <c r="G15" s="28" t="n">
        <f aca="false">D15*F15</f>
        <v>9</v>
      </c>
      <c r="H15" s="9" t="n">
        <v>35</v>
      </c>
      <c r="I15" s="29" t="n">
        <f aca="false">G15*H15</f>
        <v>315</v>
      </c>
      <c r="J15" s="30"/>
      <c r="K15" s="18" t="s">
        <v>47</v>
      </c>
      <c r="L15" s="21"/>
    </row>
    <row r="16" customFormat="false" ht="21.75" hidden="false" customHeight="true" outlineLevel="0" collapsed="false">
      <c r="A16" s="17" t="s">
        <v>93</v>
      </c>
      <c r="B16" s="21" t="s">
        <v>134</v>
      </c>
      <c r="C16" s="39"/>
      <c r="D16" s="25" t="n">
        <v>6</v>
      </c>
      <c r="E16" s="19" t="s">
        <v>46</v>
      </c>
      <c r="F16" s="27" t="n">
        <v>1.5</v>
      </c>
      <c r="G16" s="28" t="n">
        <f aca="false">D16*F16</f>
        <v>9</v>
      </c>
      <c r="H16" s="9" t="n">
        <v>15</v>
      </c>
      <c r="I16" s="29" t="n">
        <f aca="false">G16*H16</f>
        <v>135</v>
      </c>
      <c r="J16" s="30"/>
      <c r="K16" s="18" t="s">
        <v>47</v>
      </c>
      <c r="L16" s="21"/>
    </row>
    <row r="17" customFormat="false" ht="21.75" hidden="false" customHeight="true" outlineLevel="0" collapsed="false">
      <c r="A17" s="17" t="s">
        <v>100</v>
      </c>
      <c r="B17" s="21" t="s">
        <v>135</v>
      </c>
      <c r="C17" s="40"/>
      <c r="D17" s="25" t="n">
        <v>4</v>
      </c>
      <c r="E17" s="19" t="s">
        <v>59</v>
      </c>
      <c r="F17" s="27" t="n">
        <v>3</v>
      </c>
      <c r="G17" s="28" t="n">
        <f aca="false">D17*F17</f>
        <v>12</v>
      </c>
      <c r="H17" s="9" t="n">
        <v>35</v>
      </c>
      <c r="I17" s="29" t="n">
        <f aca="false">G17*H17</f>
        <v>420</v>
      </c>
      <c r="J17" s="30"/>
      <c r="K17" s="18" t="s">
        <v>47</v>
      </c>
      <c r="L17" s="21"/>
    </row>
    <row r="18" customFormat="false" ht="21.75" hidden="false" customHeight="true" outlineLevel="0" collapsed="false">
      <c r="A18" s="17" t="s">
        <v>136</v>
      </c>
      <c r="B18" s="21" t="s">
        <v>137</v>
      </c>
      <c r="C18" s="41"/>
      <c r="D18" s="25" t="n">
        <v>0</v>
      </c>
      <c r="E18" s="19" t="s">
        <v>138</v>
      </c>
      <c r="F18" s="27" t="n">
        <v>0</v>
      </c>
      <c r="G18" s="28" t="n">
        <f aca="false">D18*F18</f>
        <v>0</v>
      </c>
      <c r="H18" s="9" t="n">
        <v>0</v>
      </c>
      <c r="I18" s="29" t="n">
        <f aca="false">G18*H18</f>
        <v>0</v>
      </c>
      <c r="J18" s="21" t="s">
        <v>139</v>
      </c>
      <c r="K18" s="42" t="s">
        <v>140</v>
      </c>
      <c r="L18" s="33" t="s">
        <v>141</v>
      </c>
    </row>
    <row r="19" customFormat="false" ht="21.75" hidden="false" customHeight="true" outlineLevel="0" collapsed="false">
      <c r="A19" s="43" t="s">
        <v>142</v>
      </c>
      <c r="B19" s="43"/>
      <c r="C19" s="43"/>
      <c r="D19" s="44" t="n">
        <f aca="false">SUM(D8:D18)</f>
        <v>44</v>
      </c>
      <c r="E19" s="45"/>
      <c r="F19" s="45"/>
      <c r="G19" s="46" t="n">
        <f aca="false">MAX(G8:G18)</f>
        <v>24</v>
      </c>
      <c r="H19" s="47" t="n">
        <f aca="false">SUM(H8:H18)</f>
        <v>240</v>
      </c>
      <c r="I19" s="47" t="n">
        <f aca="false">SUM(I8:I18)</f>
        <v>2227.5</v>
      </c>
      <c r="J19" s="45"/>
      <c r="K19" s="45"/>
      <c r="L19" s="45"/>
    </row>
    <row r="21" customFormat="false" ht="27.75" hidden="false" customHeight="true" outlineLevel="0" collapsed="false">
      <c r="A21" s="48" t="s">
        <v>143</v>
      </c>
      <c r="B21" s="49" t="s">
        <v>144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</row>
  </sheetData>
  <mergeCells count="6">
    <mergeCell ref="A1:L1"/>
    <mergeCell ref="A2:L2"/>
    <mergeCell ref="A3:L3"/>
    <mergeCell ref="A5:L5"/>
    <mergeCell ref="A19:C19"/>
    <mergeCell ref="B21:L21"/>
  </mergeCells>
  <dataValidations count="2">
    <dataValidation allowBlank="true" error="Pick from the list" errorStyle="stop" errorTitle="Invalid head type" operator="between" showDropDown="false" showErrorMessage="false" showInputMessage="false" sqref="E8:E18" type="list">
      <formula1>"Pop-up spray,Rotor,Drip,Bubbler,Mixed,—"</formula1>
      <formula2>0</formula2>
    </dataValidation>
    <dataValidation allowBlank="true" errorStyle="stop" operator="between" showDropDown="false" showErrorMessage="false" showInputMessage="false" sqref="K8:K18" type="list">
      <formula1>"OK,Needs service,Broken,Unknown,Inactive"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27.75" hidden="false" customHeight="true" outlineLevel="0" collapsed="false">
      <c r="A1" s="1" t="s">
        <v>145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146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8" hidden="false" customHeight="true" outlineLevel="0" collapsed="false">
      <c r="A5" s="4" t="s">
        <v>147</v>
      </c>
      <c r="B5" s="4"/>
      <c r="C5" s="4"/>
      <c r="D5" s="4"/>
      <c r="E5" s="4"/>
      <c r="F5" s="4"/>
    </row>
    <row r="7" customFormat="false" ht="24" hidden="false" customHeight="true" outlineLevel="0" collapsed="false">
      <c r="A7" s="16" t="s">
        <v>148</v>
      </c>
      <c r="B7" s="16" t="s">
        <v>149</v>
      </c>
      <c r="C7" s="16" t="s">
        <v>150</v>
      </c>
      <c r="D7" s="16" t="s">
        <v>151</v>
      </c>
      <c r="E7" s="16" t="s">
        <v>152</v>
      </c>
      <c r="F7" s="16" t="s">
        <v>43</v>
      </c>
    </row>
    <row r="8" customFormat="false" ht="25.5" hidden="false" customHeight="true" outlineLevel="0" collapsed="false">
      <c r="A8" s="50"/>
      <c r="B8" s="42" t="s">
        <v>153</v>
      </c>
      <c r="C8" s="42" t="s">
        <v>30</v>
      </c>
      <c r="D8" s="42"/>
      <c r="E8" s="42"/>
      <c r="F8" s="33" t="s">
        <v>154</v>
      </c>
    </row>
    <row r="9" customFormat="false" ht="25.5" hidden="false" customHeight="true" outlineLevel="0" collapsed="false">
      <c r="A9" s="50"/>
      <c r="B9" s="42" t="s">
        <v>153</v>
      </c>
      <c r="C9" s="42" t="s">
        <v>155</v>
      </c>
      <c r="D9" s="42"/>
      <c r="E9" s="42"/>
      <c r="F9" s="33" t="s">
        <v>156</v>
      </c>
    </row>
    <row r="10" customFormat="false" ht="25.5" hidden="false" customHeight="true" outlineLevel="0" collapsed="false">
      <c r="A10" s="50"/>
      <c r="B10" s="42" t="s">
        <v>82</v>
      </c>
      <c r="C10" s="42" t="s">
        <v>157</v>
      </c>
      <c r="D10" s="42"/>
      <c r="E10" s="42"/>
      <c r="F10" s="33" t="s">
        <v>158</v>
      </c>
    </row>
    <row r="11" customFormat="false" ht="25.5" hidden="false" customHeight="true" outlineLevel="0" collapsed="false">
      <c r="A11" s="50"/>
      <c r="B11" s="42" t="s">
        <v>105</v>
      </c>
      <c r="C11" s="42" t="s">
        <v>159</v>
      </c>
      <c r="D11" s="42"/>
      <c r="E11" s="42"/>
      <c r="F11" s="33" t="s">
        <v>160</v>
      </c>
    </row>
    <row r="12" customFormat="false" ht="21.75" hidden="false" customHeight="true" outlineLevel="0" collapsed="false">
      <c r="A12" s="20"/>
      <c r="B12" s="25"/>
      <c r="C12" s="25"/>
      <c r="D12" s="25"/>
      <c r="E12" s="25"/>
      <c r="F12" s="19"/>
    </row>
    <row r="13" customFormat="false" ht="21.75" hidden="false" customHeight="true" outlineLevel="0" collapsed="false">
      <c r="A13" s="20"/>
      <c r="B13" s="25"/>
      <c r="C13" s="25"/>
      <c r="D13" s="25"/>
      <c r="E13" s="25"/>
      <c r="F13" s="19"/>
    </row>
    <row r="14" customFormat="false" ht="21.75" hidden="false" customHeight="true" outlineLevel="0" collapsed="false">
      <c r="A14" s="20"/>
      <c r="B14" s="25"/>
      <c r="C14" s="25"/>
      <c r="D14" s="25"/>
      <c r="E14" s="25"/>
      <c r="F14" s="19"/>
    </row>
    <row r="15" customFormat="false" ht="21.75" hidden="false" customHeight="true" outlineLevel="0" collapsed="false">
      <c r="A15" s="20"/>
      <c r="B15" s="25"/>
      <c r="C15" s="25"/>
      <c r="D15" s="25"/>
      <c r="E15" s="25"/>
      <c r="F15" s="19"/>
    </row>
    <row r="16" customFormat="false" ht="21.75" hidden="false" customHeight="true" outlineLevel="0" collapsed="false">
      <c r="A16" s="20"/>
      <c r="B16" s="25"/>
      <c r="C16" s="25"/>
      <c r="D16" s="25"/>
      <c r="E16" s="25"/>
      <c r="F16" s="19"/>
    </row>
    <row r="17" customFormat="false" ht="21.75" hidden="false" customHeight="true" outlineLevel="0" collapsed="false">
      <c r="A17" s="20"/>
      <c r="B17" s="25"/>
      <c r="C17" s="25"/>
      <c r="D17" s="25"/>
      <c r="E17" s="25"/>
      <c r="F17" s="19"/>
    </row>
    <row r="18" customFormat="false" ht="21.75" hidden="false" customHeight="true" outlineLevel="0" collapsed="false">
      <c r="A18" s="20"/>
      <c r="B18" s="25"/>
      <c r="C18" s="25"/>
      <c r="D18" s="25"/>
      <c r="E18" s="25"/>
      <c r="F18" s="19"/>
    </row>
    <row r="19" customFormat="false" ht="21.75" hidden="false" customHeight="true" outlineLevel="0" collapsed="false">
      <c r="A19" s="20"/>
      <c r="B19" s="25"/>
      <c r="C19" s="25"/>
      <c r="D19" s="25"/>
      <c r="E19" s="25"/>
      <c r="F19" s="19"/>
    </row>
    <row r="20" customFormat="false" ht="21.75" hidden="false" customHeight="true" outlineLevel="0" collapsed="false">
      <c r="A20" s="20"/>
      <c r="B20" s="25"/>
      <c r="C20" s="25"/>
      <c r="D20" s="25"/>
      <c r="E20" s="25"/>
      <c r="F20" s="19"/>
    </row>
    <row r="21" customFormat="false" ht="21.75" hidden="false" customHeight="true" outlineLevel="0" collapsed="false">
      <c r="A21" s="20"/>
      <c r="B21" s="25"/>
      <c r="C21" s="25"/>
      <c r="D21" s="25"/>
      <c r="E21" s="25"/>
      <c r="F21" s="19"/>
    </row>
    <row r="22" customFormat="false" ht="21.75" hidden="false" customHeight="true" outlineLevel="0" collapsed="false">
      <c r="A22" s="20"/>
      <c r="B22" s="25"/>
      <c r="C22" s="25"/>
      <c r="D22" s="25"/>
      <c r="E22" s="25"/>
      <c r="F22" s="19"/>
    </row>
    <row r="23" customFormat="false" ht="21.75" hidden="false" customHeight="true" outlineLevel="0" collapsed="false">
      <c r="A23" s="20"/>
      <c r="B23" s="25"/>
      <c r="C23" s="25"/>
      <c r="D23" s="25"/>
      <c r="E23" s="25"/>
      <c r="F23" s="19"/>
    </row>
    <row r="24" customFormat="false" ht="21.75" hidden="false" customHeight="true" outlineLevel="0" collapsed="false">
      <c r="A24" s="20"/>
      <c r="B24" s="25"/>
      <c r="C24" s="25"/>
      <c r="D24" s="25"/>
      <c r="E24" s="25"/>
      <c r="F24" s="19"/>
    </row>
    <row r="25" customFormat="false" ht="21.75" hidden="false" customHeight="true" outlineLevel="0" collapsed="false">
      <c r="A25" s="20"/>
      <c r="B25" s="25"/>
      <c r="C25" s="25"/>
      <c r="D25" s="25"/>
      <c r="E25" s="25"/>
      <c r="F25" s="19"/>
    </row>
    <row r="26" customFormat="false" ht="21.75" hidden="false" customHeight="true" outlineLevel="0" collapsed="false">
      <c r="A26" s="20"/>
      <c r="B26" s="25"/>
      <c r="C26" s="25"/>
      <c r="D26" s="25"/>
      <c r="E26" s="25"/>
      <c r="F26" s="19"/>
    </row>
    <row r="27" customFormat="false" ht="21.75" hidden="false" customHeight="true" outlineLevel="0" collapsed="false">
      <c r="A27" s="20"/>
      <c r="B27" s="25"/>
      <c r="C27" s="25"/>
      <c r="D27" s="25"/>
      <c r="E27" s="25"/>
      <c r="F27" s="19"/>
    </row>
    <row r="28" customFormat="false" ht="21.75" hidden="false" customHeight="true" outlineLevel="0" collapsed="false">
      <c r="A28" s="20"/>
      <c r="B28" s="25"/>
      <c r="C28" s="25"/>
      <c r="D28" s="25"/>
      <c r="E28" s="25"/>
      <c r="F28" s="19"/>
    </row>
    <row r="29" customFormat="false" ht="21.75" hidden="false" customHeight="true" outlineLevel="0" collapsed="false">
      <c r="A29" s="20"/>
      <c r="B29" s="25"/>
      <c r="C29" s="25"/>
      <c r="D29" s="25"/>
      <c r="E29" s="25"/>
      <c r="F29" s="19"/>
    </row>
    <row r="30" customFormat="false" ht="21.75" hidden="false" customHeight="true" outlineLevel="0" collapsed="false">
      <c r="A30" s="20"/>
      <c r="B30" s="25"/>
      <c r="C30" s="25"/>
      <c r="D30" s="25"/>
      <c r="E30" s="25"/>
      <c r="F30" s="19"/>
    </row>
    <row r="31" customFormat="false" ht="21.75" hidden="false" customHeight="true" outlineLevel="0" collapsed="false">
      <c r="A31" s="20"/>
      <c r="B31" s="25"/>
      <c r="C31" s="25"/>
      <c r="D31" s="25"/>
      <c r="E31" s="25"/>
      <c r="F31" s="19"/>
    </row>
    <row r="32" customFormat="false" ht="21.75" hidden="false" customHeight="true" outlineLevel="0" collapsed="false">
      <c r="A32" s="20"/>
      <c r="B32" s="25"/>
      <c r="C32" s="25"/>
      <c r="D32" s="25"/>
      <c r="E32" s="25"/>
      <c r="F32" s="19"/>
    </row>
    <row r="33" customFormat="false" ht="21.75" hidden="false" customHeight="true" outlineLevel="0" collapsed="false">
      <c r="A33" s="20"/>
      <c r="B33" s="25"/>
      <c r="C33" s="25"/>
      <c r="D33" s="25"/>
      <c r="E33" s="25"/>
      <c r="F33" s="19"/>
    </row>
    <row r="34" customFormat="false" ht="21.75" hidden="false" customHeight="true" outlineLevel="0" collapsed="false">
      <c r="A34" s="20"/>
      <c r="B34" s="25"/>
      <c r="C34" s="25"/>
      <c r="D34" s="25"/>
      <c r="E34" s="25"/>
      <c r="F34" s="19"/>
    </row>
    <row r="35" customFormat="false" ht="21.75" hidden="false" customHeight="true" outlineLevel="0" collapsed="false">
      <c r="A35" s="20"/>
      <c r="B35" s="25"/>
      <c r="C35" s="25"/>
      <c r="D35" s="25"/>
      <c r="E35" s="25"/>
      <c r="F35" s="19"/>
    </row>
    <row r="36" customFormat="false" ht="21.75" hidden="false" customHeight="true" outlineLevel="0" collapsed="false">
      <c r="A36" s="20"/>
      <c r="B36" s="25"/>
      <c r="C36" s="25"/>
      <c r="D36" s="25"/>
      <c r="E36" s="25"/>
      <c r="F36" s="19"/>
    </row>
    <row r="37" customFormat="false" ht="21.75" hidden="false" customHeight="true" outlineLevel="0" collapsed="false">
      <c r="A37" s="20"/>
      <c r="B37" s="25"/>
      <c r="C37" s="25"/>
      <c r="D37" s="25"/>
      <c r="E37" s="25"/>
      <c r="F37" s="19"/>
    </row>
    <row r="38" customFormat="false" ht="21.75" hidden="false" customHeight="true" outlineLevel="0" collapsed="false">
      <c r="A38" s="20"/>
      <c r="B38" s="25"/>
      <c r="C38" s="25"/>
      <c r="D38" s="25"/>
      <c r="E38" s="25"/>
      <c r="F38" s="19"/>
    </row>
    <row r="39" customFormat="false" ht="21.75" hidden="false" customHeight="true" outlineLevel="0" collapsed="false">
      <c r="A39" s="20"/>
      <c r="B39" s="25"/>
      <c r="C39" s="25"/>
      <c r="D39" s="25"/>
      <c r="E39" s="25"/>
      <c r="F39" s="19"/>
    </row>
    <row r="40" customFormat="false" ht="21.75" hidden="false" customHeight="true" outlineLevel="0" collapsed="false">
      <c r="A40" s="20"/>
      <c r="B40" s="25"/>
      <c r="C40" s="25"/>
      <c r="D40" s="25"/>
      <c r="E40" s="25"/>
      <c r="F40" s="19"/>
    </row>
    <row r="41" customFormat="false" ht="21.75" hidden="false" customHeight="true" outlineLevel="0" collapsed="false">
      <c r="A41" s="20"/>
      <c r="B41" s="25"/>
      <c r="C41" s="25"/>
      <c r="D41" s="25"/>
      <c r="E41" s="25"/>
      <c r="F41" s="19"/>
    </row>
  </sheetData>
  <mergeCells count="4">
    <mergeCell ref="A1:F1"/>
    <mergeCell ref="A2:F2"/>
    <mergeCell ref="A3:F3"/>
    <mergeCell ref="A5:F5"/>
  </mergeCells>
  <dataValidations count="1">
    <dataValidation allowBlank="true" errorStyle="stop" operator="between" showDropDown="false" showErrorMessage="false" showInputMessage="false" sqref="C8:C41" type="list">
      <formula1>"Spring start-up,Winterize / blow-out,Head replacement,Head adjustment,Valve repair,Controller programming,Leak repair,Inspection,Other"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2026-05-10T16:32:04Z</dcterms:created>
  <dc:creator>openpyxl</dc:creator>
  <dc:description/>
  <dc:language>en-US</dc:language>
  <cp:lastModifiedBy/>
  <dcterms:modified xsi:type="dcterms:W3CDTF">2026-05-10T16:32:04Z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